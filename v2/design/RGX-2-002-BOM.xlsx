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VSProjects\regenx-brake-assist-controller\v2\design\"/>
    </mc:Choice>
  </mc:AlternateContent>
  <xr:revisionPtr revIDLastSave="0" documentId="13_ncr:1_{E1BE195A-FB2A-4943-AABD-838EACB926A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OM" sheetId="1" r:id="rId1"/>
    <sheet name="Compatibility" sheetId="2" r:id="rId2"/>
    <sheet name="Inspection" sheetId="3" r:id="rId3"/>
    <sheet name="Queued changes" sheetId="4" r:id="rId4"/>
    <sheet name="Sourc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8" i="1" l="1"/>
  <c r="J38" i="1"/>
  <c r="K37" i="1"/>
  <c r="J37" i="1"/>
  <c r="K36" i="1"/>
  <c r="J36" i="1"/>
  <c r="K35" i="1"/>
  <c r="J35" i="1"/>
  <c r="K34" i="1"/>
  <c r="J34" i="1"/>
  <c r="K33" i="1"/>
  <c r="J33" i="1"/>
  <c r="K32" i="1"/>
  <c r="J32" i="1"/>
  <c r="K31" i="1"/>
  <c r="J31" i="1"/>
  <c r="K30" i="1"/>
  <c r="J30" i="1"/>
  <c r="K29" i="1"/>
  <c r="J29" i="1"/>
  <c r="K28" i="1"/>
  <c r="J28" i="1"/>
  <c r="K27" i="1"/>
  <c r="J27" i="1"/>
  <c r="K26" i="1"/>
  <c r="J26" i="1"/>
  <c r="K25" i="1"/>
  <c r="J25" i="1"/>
  <c r="K24" i="1"/>
  <c r="J24" i="1"/>
  <c r="K23" i="1"/>
  <c r="J23" i="1"/>
  <c r="K22" i="1"/>
  <c r="J22" i="1"/>
  <c r="K21" i="1"/>
  <c r="J21" i="1"/>
  <c r="K20" i="1"/>
  <c r="J20" i="1"/>
  <c r="K19" i="1"/>
  <c r="J19" i="1"/>
  <c r="K18" i="1"/>
  <c r="J18" i="1"/>
  <c r="K17" i="1"/>
  <c r="J17" i="1"/>
  <c r="K16" i="1"/>
  <c r="J16" i="1"/>
  <c r="K15" i="1"/>
  <c r="J15" i="1"/>
  <c r="K14" i="1"/>
  <c r="J14" i="1"/>
  <c r="K13" i="1"/>
  <c r="J13" i="1"/>
  <c r="K12" i="1"/>
  <c r="J12" i="1"/>
  <c r="K11" i="1"/>
  <c r="J11" i="1"/>
  <c r="K10" i="1"/>
  <c r="J10" i="1"/>
  <c r="J39" i="1" s="1"/>
  <c r="C7" i="1"/>
  <c r="B7" i="1"/>
  <c r="C6" i="1"/>
  <c r="B6" i="1"/>
  <c r="C5" i="1"/>
  <c r="B5" i="1"/>
  <c r="K39" i="1" l="1"/>
  <c r="C8" i="1"/>
  <c r="B8" i="1"/>
</calcChain>
</file>

<file path=xl/sharedStrings.xml><?xml version="1.0" encoding="utf-8"?>
<sst xmlns="http://schemas.openxmlformats.org/spreadsheetml/2006/main" count="368" uniqueCount="286">
  <si>
    <t>ReGenX v2 — Bill of Materials   ·   RGX-2-002 Rev A</t>
  </si>
  <si>
    <t>Against RGX-2-001 Rev C / RGX-2-100 Rev D  ·  2026-08-02.  Prices approximate CAD, August 2026, before tax/shipping — blue cells are editable estimates; update them after quoting. Sourcing assumes delivery to Ontario.</t>
  </si>
  <si>
    <t>Summary (CAD)</t>
  </si>
  <si>
    <t>Est. low</t>
  </si>
  <si>
    <t>Est. high</t>
  </si>
  <si>
    <t>Motor</t>
  </si>
  <si>
    <t>Power</t>
  </si>
  <si>
    <t>Signal</t>
  </si>
  <si>
    <t>Grand total</t>
  </si>
  <si>
    <t>Ref</t>
  </si>
  <si>
    <t>Item</t>
  </si>
  <si>
    <t>Category</t>
  </si>
  <si>
    <t>Status</t>
  </si>
  <si>
    <t>Required spec</t>
  </si>
  <si>
    <t>Selected part / source</t>
  </si>
  <si>
    <t>Qty</t>
  </si>
  <si>
    <t>Unit low</t>
  </si>
  <si>
    <t>Unit high</t>
  </si>
  <si>
    <t>Line low</t>
  </si>
  <si>
    <t>Line high</t>
  </si>
  <si>
    <t>Verification / notes</t>
  </si>
  <si>
    <t>A1</t>
  </si>
  <si>
    <t>Motor controller</t>
  </si>
  <si>
    <t>Owned</t>
  </si>
  <si>
    <t>Flipsky Mini FSESC4.20 — 8-60 V, 50 A cont / 150 A pk, sensored FOC, 5 V 1.5 A BEC</t>
  </si>
  <si>
    <t>On hand</t>
  </si>
  <si>
    <t>Confirm BEC live under load; set battery limit 40 A, max input voltage 40 V</t>
  </si>
  <si>
    <t>C1-C3</t>
  </si>
  <si>
    <t>Supercap modules</t>
  </si>
  <si>
    <t>3 x GDCPH 16.2 V 20 F (6 x 2.7 V 120 F, integral balancing)</t>
  </si>
  <si>
    <t>Capacitance match &lt;=10 %; leakage at 13 V / 24 h; identify balance circuit type</t>
  </si>
  <si>
    <t>J3</t>
  </si>
  <si>
    <t>Hall throttle</t>
  </si>
  <si>
    <t>Ratiometric, operates from 3V3 (proven on v1)</t>
  </si>
  <si>
    <t>On hand (v1)</t>
  </si>
  <si>
    <t>Verify output span 0.20-0.85 x V_REF</t>
  </si>
  <si>
    <t>U2</t>
  </si>
  <si>
    <t>Raspberry Pi Pico</t>
  </si>
  <si>
    <t>RP2040, VSYS 1.8-5.5 V, GPIO 3.3 V</t>
  </si>
  <si>
    <t>On hand; else PiShop.ca ~$6</t>
  </si>
  <si>
    <t>-</t>
  </si>
  <si>
    <t>v1 wiring / XT60s / hardware</t>
  </si>
  <si>
    <t>Reuse where gauge permits</t>
  </si>
  <si>
    <t>Inspect before reuse</t>
  </si>
  <si>
    <t>M1</t>
  </si>
  <si>
    <t>Bafang G020 hub motor</t>
  </si>
  <si>
    <t>Buy</t>
  </si>
  <si>
    <t>36 V 250 W, REAR CASSETTE 8-10s, disc mount, 36H, shell speed sensor (6 PPR), dropout 135 mm</t>
  </si>
  <si>
    <t>PSWPower / GreenBikeKit / eBay (ships to Canada)</t>
  </si>
  <si>
    <t>ORDER FIRST - longest lead. Confirm with vendor: cassette (not threaded), speed-sensor variant on white wire, disc mount, 36H. Measure frame dropout before ordering (one vendor lists 138 mm)</t>
  </si>
  <si>
    <t>W1</t>
  </si>
  <si>
    <t>Higo Z910 9-pin extension cable</t>
  </si>
  <si>
    <t>Female end, 9-pin (3 phase + 5 V/GND/H1-H3 + white speed)</t>
  </si>
  <si>
    <t>Amazon.ca (Greenergia or equiv.)</t>
  </si>
  <si>
    <t>Cut to make the splitter pigtail. Continuity-map pinout before first power - Z910 internals vary</t>
  </si>
  <si>
    <t>BT1</t>
  </si>
  <si>
    <t>18650 cells + holder</t>
  </si>
  <si>
    <t>4S, &gt;=1 Ah (any modern 18650 exceeds this)</t>
  </si>
  <si>
    <t>18650canada.ca / Vruzend - Molicel/Samsung/LG + 4S holder or nickel strip</t>
  </si>
  <si>
    <t>Match cells from same batch</t>
  </si>
  <si>
    <t>BMS, 4S configurable</t>
  </si>
  <si>
    <t>Balance, OV 4.25 V/cell, UV 3.00 V/cell (configurable only - fixed parts cut 2.5-2.8 V), OC</t>
  </si>
  <si>
    <t>JBD smart 4S (DH04SA01 class, 20 A), app-set thresholds - jbdbms.com / AliExpress</t>
  </si>
  <si>
    <t>Configure UV 3.00 / OV 4.25 on bench supply BEFORE connecting cells. BT quiescent trims standby to 82-91 days</t>
  </si>
  <si>
    <t>J4</t>
  </si>
  <si>
    <t>Balance charger + lead</t>
  </si>
  <si>
    <t>4S balance charge input</t>
  </si>
  <si>
    <t>SkyRC iMAX B6 (genuine) + XH-4S lead - Amazon.ca / hobby shops</t>
  </si>
  <si>
    <t>Doubles as bench tool for cell matching and capacity tests</t>
  </si>
  <si>
    <t>F3</t>
  </si>
  <si>
    <t>Fuse + inline holder</t>
  </si>
  <si>
    <t>5 A time-delay characteristic, &gt;=32 V DC; holder is the BT1 service disconnect</t>
  </si>
  <si>
    <t>Littelfuse MINI 58 V, 5 A + inline MINI holder, accessible mounting</t>
  </si>
  <si>
    <t>Precharge duty 3.36 A = 67 % of rating - no nuisance margin needed</t>
  </si>
  <si>
    <t>R1</t>
  </si>
  <si>
    <t>Precharge resistor</t>
  </si>
  <si>
    <t>4.7 ohm +/-5 %, 100 W wirewound alu-clad + heatsink &gt;=150 cm2</t>
  </si>
  <si>
    <t>Arcol/Ohmite HS100 4R7 J + finned heatsink + thermal compound - DigiKey.ca</t>
  </si>
  <si>
    <t>Duty 53 W / 22 s per cold start, 832 J</t>
  </si>
  <si>
    <t>S2</t>
  </si>
  <si>
    <t>Thermal cutout</t>
  </si>
  <si>
    <t>NC bimetal, open 100-110 C, MANUAL reset, &gt;=5 A, &gt;=24 V DC (relaxed from 50 V - open-contact voltage &lt;=23 V)</t>
  </si>
  <si>
    <t>KSD301 manual-reset 110 C NC, flag terminals - Amazon.ca / Lee's Electronics</t>
  </si>
  <si>
    <t>Bolt to R1 body. Bench-verify trip ~105-115 C and manual-reset latch</t>
  </si>
  <si>
    <t>D1</t>
  </si>
  <si>
    <t>Blocking diode</t>
  </si>
  <si>
    <t>Si, IF(AV) &gt;=6 A, VRRM &gt;=100 V, IR &lt;=10 uA</t>
  </si>
  <si>
    <t>6A10 (6 A / 1000 V) - DigiKey.ca / Amazon</t>
  </si>
  <si>
    <t>F1</t>
  </si>
  <si>
    <t>Class T fuse + block</t>
  </si>
  <si>
    <t>50 A Class T, 160 V DC, 200 kA IR</t>
  </si>
  <si>
    <t>Bussmann JJN-50 (DigiKey.ca) + Class T block w/ cover (Blue Sea 5502100 or equiv.)</t>
  </si>
  <si>
    <t>The only fuse class with the DC voltage rating - ANL/MIDI are 32 V parts</t>
  </si>
  <si>
    <t>S1</t>
  </si>
  <si>
    <t>Master disconnect switch</t>
  </si>
  <si>
    <t>SPST &gt;=100 A cont., &gt;=60 V DC break, make &gt;=300 A</t>
  </si>
  <si>
    <t>WATERWICH 8-60 V DC marine disconnect, 275 A cont. / 1250 A intermittent - Amazon.ca</t>
  </si>
  <si>
    <t>Budget part: four-wire contact resistance at 20 A on receipt (feeds R_ext)</t>
  </si>
  <si>
    <t>F2</t>
  </si>
  <si>
    <t>2 A slow-blow, &gt;=58 V DC</t>
  </si>
  <si>
    <t>Littelfuse MINI 58 V, 2 A + inline MINI holder (same family as F3)</t>
  </si>
  <si>
    <t>U1</t>
  </si>
  <si>
    <t>Trickle charger module</t>
  </si>
  <si>
    <t>CC/CV buck, Vin &gt;=57 V, CC floor &lt;=0.2 A, Vout to 17.2 V</t>
  </si>
  <si>
    <t>LM2596HVS CC/CV module (5-57 V in, 1.25-30 V out, CC 0.2-3 A) - Amazon.ca / eBay</t>
  </si>
  <si>
    <t>Buy 2 - pot quality varies. Set 17.2 V / 0.2 A into dummy load; verify conduction only above 19.2 V in</t>
  </si>
  <si>
    <t>D2</t>
  </si>
  <si>
    <t>Charger output diode</t>
  </si>
  <si>
    <t>Si, IF(AV) &gt;=1 A, VRRM &gt;=100 V</t>
  </si>
  <si>
    <t>1N4007</t>
  </si>
  <si>
    <t>Bank wiring</t>
  </si>
  <si>
    <t>8 AWG silicone (red/black ~2 m ea.), M8/M6 ring lugs, XT60 pairs</t>
  </si>
  <si>
    <t>Amazon.ca</t>
  </si>
  <si>
    <t>8 AWG harness terminates at A1's factory XT60 - pigtails shall not be extended</t>
  </si>
  <si>
    <t>Branch wiring</t>
  </si>
  <si>
    <t>18 AWG (pack branch), 22 AWG (charger branch) silicone</t>
  </si>
  <si>
    <t>DS1</t>
  </si>
  <si>
    <t>OLED display</t>
  </si>
  <si>
    <t>SSD1306 128x64, I2C 400 kHz, 3.3 V, addr 0x3C</t>
  </si>
  <si>
    <t>Any 0.96 inch SSD1306 module - Amazon.ca</t>
  </si>
  <si>
    <t>Confirm 3.3 V logic; module pull-ups reference its own rail</t>
  </si>
  <si>
    <t>D3</t>
  </si>
  <si>
    <t>Throttle TVS</t>
  </si>
  <si>
    <t>Unidirectional, VRWM 3.3 V, VC &lt;=4.5 V @ 1 A</t>
  </si>
  <si>
    <t>SMBJ3.3A (600 W) - DigiKey.ca</t>
  </si>
  <si>
    <t>Verify clamp curve at 1 A on the batch datasheet; R7 bounds pin current regardless</t>
  </si>
  <si>
    <t>R2-R7</t>
  </si>
  <si>
    <t>Resistors</t>
  </si>
  <si>
    <t>100 k / 4x 1 k / 10 k, +/-5 %, 1/4 W</t>
  </si>
  <si>
    <t>Metal-film assortment kit - Amazon.ca</t>
  </si>
  <si>
    <t>C4</t>
  </si>
  <si>
    <t>VSYS bulk cap</t>
  </si>
  <si>
    <t>220 uF +/-20 %, &gt;=10 V, 105 C, &gt;=2000 h</t>
  </si>
  <si>
    <t>Panasonic FR/FC 220 uF 25 V - DigiKey.ca</t>
  </si>
  <si>
    <t>C5-C7</t>
  </si>
  <si>
    <t>Ceramic caps</t>
  </si>
  <si>
    <t>2x 100 nF &gt;=16 V X7R; 1 nF &gt;=50 V C0G</t>
  </si>
  <si>
    <t>Ceramic assortment kit - Amazon.ca</t>
  </si>
  <si>
    <t>L1</t>
  </si>
  <si>
    <t>Ferrite bead</t>
  </si>
  <si>
    <t>~600 ohm @ 100 MHz, &gt;=1 A, DCR &lt;=0.1 ohm</t>
  </si>
  <si>
    <t>Fair-Rite 2743001112 axial bead over +5 V lead - DigiKey.ca</t>
  </si>
  <si>
    <t>J2</t>
  </si>
  <si>
    <t>Hall connector</t>
  </si>
  <si>
    <t>JST-PH 2.0 6-pin (mates A1 hall connector)</t>
  </si>
  <si>
    <t>PH pigtail set - Amazon.ca</t>
  </si>
  <si>
    <t>Signal consumables</t>
  </si>
  <si>
    <t>24 AWG silicone, heatshrink, perfboard, standoffs</t>
  </si>
  <si>
    <t>SPD twisted with its return; UART twisted pair</t>
  </si>
  <si>
    <t>TOTAL — new purchases</t>
  </si>
  <si>
    <t>Compatibility verification — computed against RGX-2-001 Rev C</t>
  </si>
  <si>
    <t>G020 research-confirmed: 20 magnets (10 pole pairs), 5:1 single-stage, 6-magnet shell speed sensor, ~200 rpm @ 36 V =&gt; kV_wheel ~5.56 rpm/V. Measured kV (spec s11 gate 2) replaces the estimate.</t>
  </si>
  <si>
    <t>Area</t>
  </si>
  <si>
    <t>Check</t>
  </si>
  <si>
    <t>Result</t>
  </si>
  <si>
    <t>Motor &lt;-&gt; controller</t>
  </si>
  <si>
    <t>ERPM at 30 km/h braking = 238 wheel rpm x 5 x 10 = 11,900 ERPM</t>
  </si>
  <si>
    <t>Far inside FSESC4.20 limits</t>
  </si>
  <si>
    <t>OK</t>
  </si>
  <si>
    <t>Speed sensor</t>
  </si>
  <si>
    <t>6 PPR on white conductor; 8-24 Hz at 10-30 km/h</t>
  </si>
  <si>
    <t>Matches spec s4.9 exactly - now sourced, not assumed</t>
  </si>
  <si>
    <t>Hall interface</t>
  </si>
  <si>
    <t>Standard 120-degree halls on 9-pin cable</t>
  </si>
  <si>
    <t>VESC hall-detection routine maps them</t>
  </si>
  <si>
    <t>Bench verify</t>
  </si>
  <si>
    <t>Telemetry constant</t>
  </si>
  <si>
    <t>wheel rpm = ERPM / 50</t>
  </si>
  <si>
    <t>Firmware constant (10 pole pairs x 5:1)</t>
  </si>
  <si>
    <t>Cable / W1</t>
  </si>
  <si>
    <t>Single 9-pin Higo Z910, NOT the separate 6-way J1 drawn on Sheet 3</t>
  </si>
  <si>
    <t>W1 redefined as Z910 splitter - electrically identical. Queued as drawing Rev E. Pinouts vary: continuity-map before power</t>
  </si>
  <si>
    <t>Drawing Rev E</t>
  </si>
  <si>
    <t>Back-EMF, coasting</t>
  </si>
  <si>
    <t>Rotor stationary (carrier freewheels) - zero BEMF</t>
  </si>
  <si>
    <t>Freegen property: no body-diode charging while cruising</t>
  </si>
  <si>
    <t>Back-EMF vs bank 12.7 V (rest)</t>
  </si>
  <si>
    <t>Crossover 8.9 km/h wheel speed during braking</t>
  </si>
  <si>
    <t>This is regen working as intended</t>
  </si>
  <si>
    <t>Back-EMF vs bank 40 V (full)</t>
  </si>
  <si>
    <t>Crossover 28.0 km/h</t>
  </si>
  <si>
    <t>Braking below 28 km/h can NEVER overcharge a full bank, even via body diodes with A1 faulted</t>
  </si>
  <si>
    <t>Back-EMF vs bank 45.4 V (abs)</t>
  </si>
  <si>
    <t>Crossover 31.8 km/h</t>
  </si>
  <si>
    <t>Exposure: braking &gt;32 km/h + full bank + faulted A1. Control law must taper full-bank regen to zero above ~28 km/h. Carrier slip reduces rotor speed and therefore back-EMF, softening the exposure further</t>
  </si>
  <si>
    <t>Control-law req</t>
  </si>
  <si>
    <t>BMS undervoltage</t>
  </si>
  <si>
    <t>Fixed-threshold 4S BMS cut 2.5-2.8 V/cell - below the 10.76 V collapse point</t>
  </si>
  <si>
    <t>JBD app-configurable UV = 3.00 V/cell is the only attainable route</t>
  </si>
  <si>
    <t>OK (configure)</t>
  </si>
  <si>
    <t>BMS quiescent</t>
  </si>
  <si>
    <t>Bluetooth models idle 50-100 uA</t>
  </si>
  <si>
    <t>Standby 82-91 days vs spec's 93 - accepted</t>
  </si>
  <si>
    <t>Noted</t>
  </si>
  <si>
    <t>S2 voltage rating</t>
  </si>
  <si>
    <t>KSD301 is 48 V DC rated; spec said &gt;=50 V DC</t>
  </si>
  <si>
    <t>Open-contact voltage &lt;=23 V actual - spec relaxed to &gt;=24 V DC</t>
  </si>
  <si>
    <t>Spec change</t>
  </si>
  <si>
    <t>F2/F3 family</t>
  </si>
  <si>
    <t>Littelfuse MINI 58 V covers both (58 V DC, time-delay characteristic)</t>
  </si>
  <si>
    <t>One holder type; F3 precharge duty 67 % of rating</t>
  </si>
  <si>
    <t>8-60 V DC / 275 A cont. / 1250 A intermittent</t>
  </si>
  <si>
    <t>Covers break voltage, continuous and &gt;=300 A make</t>
  </si>
  <si>
    <t>Receipt check</t>
  </si>
  <si>
    <t>U1 module</t>
  </si>
  <si>
    <t>LM2596HVS: 5-57 V in, CC 0.2-3 A, out to 30 V</t>
  </si>
  <si>
    <t>Every spec line met incl. 45.4 V absolute input</t>
  </si>
  <si>
    <t>JJN-50: 300 V AC / 160 V DC, 200 kA IR</t>
  </si>
  <si>
    <t>DigiKey stocked</t>
  </si>
  <si>
    <t>Incoming inspection — before any assembly</t>
  </si>
  <si>
    <t>Fill in the yellow Result and Date cells as each check completes. The italic grey row is a format example, not a completed check.</t>
  </si>
  <si>
    <t>#</t>
  </si>
  <si>
    <t>Procedure</t>
  </si>
  <si>
    <t>Reference</t>
  </si>
  <si>
    <t>Date</t>
  </si>
  <si>
    <t>ex</t>
  </si>
  <si>
    <t>(example) C1-C3 modules</t>
  </si>
  <si>
    <t>(format example only)</t>
  </si>
  <si>
    <t>PASS - 6.71 / 6.68 / 6.74 F</t>
  </si>
  <si>
    <t>2026-08-10</t>
  </si>
  <si>
    <t>Higo pinout map</t>
  </si>
  <si>
    <t>M1 unpowered: shell-to-pin continuity, phase-phase resistance symmetry, hall supply polarity, white wire vs wheel rotation on scope</t>
  </si>
  <si>
    <t>Spec s11 item 8</t>
  </si>
  <si>
    <t>C1-C3 modules</t>
  </si>
  <si>
    <t>Capacitance each (match &lt;=10 %); leakage at 13 V after 24 h; balance circuit type</t>
  </si>
  <si>
    <t>Spec s11 item 4</t>
  </si>
  <si>
    <t>BMS configuration</t>
  </si>
  <si>
    <t>Set UV 3.00 / OV 4.25 V per cell; verify cut voltages on bench supply BEFORE connecting cells</t>
  </si>
  <si>
    <t>BOM s5.4</t>
  </si>
  <si>
    <t>U1 setup</t>
  </si>
  <si>
    <t>17.2 V / 0.2 A into dummy load; conduction only above 19.2 V in; no reverse leakage with output &gt; input</t>
  </si>
  <si>
    <t>Spec s4.6</t>
  </si>
  <si>
    <t>S1 contacts</t>
  </si>
  <si>
    <t>Four-wire resistance at 20 A (feeds R_ext)</t>
  </si>
  <si>
    <t>Spec s11 item 6</t>
  </si>
  <si>
    <t>S2 function</t>
  </si>
  <si>
    <t>NC continuity cold; trip 105-115 C by heat gun; manual reset latches</t>
  </si>
  <si>
    <t>D3 clamp</t>
  </si>
  <si>
    <t>Batch datasheet curve: VC &lt;=4.5 V at 1 A</t>
  </si>
  <si>
    <t>Drawing D3 spec</t>
  </si>
  <si>
    <t>M1 kV</t>
  </si>
  <si>
    <t>Drill-spin, open-circuit phase voltage vs rpm - replaces 5.56 rpm/V estimate and re-derives crossover table</t>
  </si>
  <si>
    <t>Spec s11 gate 2</t>
  </si>
  <si>
    <t>M1 teardown</t>
  </si>
  <si>
    <t>Carrier access for the brake - gates the whole mechanical concept</t>
  </si>
  <si>
    <t>Spec s11 gate 1</t>
  </si>
  <si>
    <t>Spec / drawing changes queued from this BOM</t>
  </si>
  <si>
    <t>Target</t>
  </si>
  <si>
    <t>Change</t>
  </si>
  <si>
    <t>1</t>
  </si>
  <si>
    <t>W1 -&gt; 9-pin Higo Z910 splitter; J1 redrawn as the motor's single cable</t>
  </si>
  <si>
    <t>2</t>
  </si>
  <si>
    <t>Spec s7 (S2)</t>
  </si>
  <si>
    <t>Voltage line &gt;=50 -&gt; &gt;=24 V DC, justified by &lt;=23 V open-contact analysis</t>
  </si>
  <si>
    <t>3</t>
  </si>
  <si>
    <t>Spec s4.5</t>
  </si>
  <si>
    <t>Standby life 93 -&gt; 82-91 days if a Bluetooth BMS is fitted</t>
  </si>
  <si>
    <t>4</t>
  </si>
  <si>
    <t>Control law (deferred phase)</t>
  </si>
  <si>
    <t>Full-bank regen tapered to zero above ~28 km/h; wheel rpm = ERPM / 50</t>
  </si>
  <si>
    <t>Sources — research behind selections and compatibility findings</t>
  </si>
  <si>
    <t>What it supports</t>
  </si>
  <si>
    <t>Link</t>
  </si>
  <si>
    <t>Bafang G020 250W 36V rear cassette listing</t>
  </si>
  <si>
    <t>https://www.pswpower.com/products/bafang-g020-250w-36v-rear-hub-for-cassette-8-9-10-kit-waterproof-ip65-g020-black-lightconnector-e-bike-conversion-kit-hub-motor-342</t>
  </si>
  <si>
    <t>G020 poles / gear reduction / speed sensor (teardown thread)</t>
  </si>
  <si>
    <t>https://endless-sphere.com/sphere/threads/bafang-g020-hub-motor-no-of-poles-gear-reduction-etc.119534/</t>
  </si>
  <si>
    <t>RM G020 family reference</t>
  </si>
  <si>
    <t>https://www.greenbikekit.com/electric-bike-kit/rear-bldc/rm-g020-swx02-bafang-hub-motor-750w-500w.html</t>
  </si>
  <si>
    <t>Higo Z910 9-pin standards and pinout variance</t>
  </si>
  <si>
    <t>https://www.marsantsx.com/blogs/article/higo-9-pin-motor-connector-guide-standards-repair</t>
  </si>
  <si>
    <t>Grin Technologies connector reference</t>
  </si>
  <si>
    <t>https://ebikes.ca/resources/learn/connectors.html</t>
  </si>
  <si>
    <t>JBD smart 4S BMS (app-configurable thresholds)</t>
  </si>
  <si>
    <t>https://jbdbms.com/products/jbd-bms-dh04sa01</t>
  </si>
  <si>
    <t>Bussmann JJN-50, 300 V AC / 160 V DC Class T (DigiKey)</t>
  </si>
  <si>
    <t>https://www.digikey.com/en/products/detail/eaton-bussmann-electrical-division/JJN-50/1645509</t>
  </si>
  <si>
    <t>Littelfuse MINI 58 V blade fuse datasheet</t>
  </si>
  <si>
    <t>https://m.littelfuse.com/~/media/automotive/datasheets/fuses/passenger-car-and-commercial-vehicle/blade-fuses/littelfuse_mini_58v_datasheet.pdf</t>
  </si>
  <si>
    <t>WATERWICH 8-60 V DC 275 A marine disconnect</t>
  </si>
  <si>
    <t>https://www.amazon.com/WATERWICH-Battery-Disconnect-Waterproof-Vehicle/dp/B07D5PV84D</t>
  </si>
  <si>
    <t>LM2596HVS 60 V 3 A CC/CV module</t>
  </si>
  <si>
    <t>https://www.amazon.com/LM2596-Constant-Current-Voltage-Step-Down/dp/B09131S1L5</t>
  </si>
  <si>
    <t>KSD301 manual-reset thermal cutout (Canadian stock)</t>
  </si>
  <si>
    <t>https://leeselectronic.com/en/product/32426-thermal-cutoff-w-manual-reset-130c-250v-10a-n-c.html</t>
  </si>
  <si>
    <t>Retrieved 2026-08-02. Prices and stock verified at that date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</si>
</sst>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9"/>
      <color rgb="FF666666"/>
      <name val="Arial"/>
    </font>
    <font>
      <b/>
      <sz val="10"/>
      <color rgb="FFFFFFFF"/>
      <name val="Arial"/>
    </font>
    <font>
      <sz val="10"/>
      <name val="Arial"/>
    </font>
    <font>
      <sz val="10"/>
      <color rgb="FF0000FF"/>
      <name val="Arial"/>
    </font>
    <font>
      <b/>
      <sz val="10"/>
      <name val="Arial"/>
    </font>
    <font>
      <i/>
      <sz val="9"/>
      <color rgb="FF999999"/>
      <name val="Arial"/>
    </font>
    <font>
      <b/>
      <sz val="10"/>
      <color rgb="FFFFFFFF"/>
      <name val="Arial"/>
    </font>
    <font>
      <u/>
      <sz val="10"/>
      <color rgb="FF0563C1"/>
      <name val="Arial"/>
    </font>
    <font>
      <i/>
      <sz val="9"/>
      <color rgb="FF666666"/>
      <name val="Arial"/>
    </font>
  </fonts>
  <fills count="7">
    <fill>
      <patternFill patternType="none"/>
    </fill>
    <fill>
      <patternFill patternType="gray125"/>
    </fill>
    <fill>
      <patternFill patternType="solid">
        <fgColor rgb="FF2F4F6F"/>
      </patternFill>
    </fill>
    <fill>
      <patternFill patternType="solid">
        <fgColor rgb="FFF2F2F2"/>
      </patternFill>
    </fill>
    <fill>
      <patternFill patternType="solid">
        <fgColor rgb="FFE8EDF2"/>
      </patternFill>
    </fill>
    <fill>
      <patternFill patternType="solid">
        <fgColor rgb="FFFFFF00"/>
      </patternFill>
    </fill>
    <fill>
      <patternFill patternType="solid">
        <fgColor rgb="FF2F4F6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6" fillId="0" borderId="1" xfId="0" applyFont="1" applyBorder="1"/>
    <xf numFmtId="0" fontId="4" fillId="0" borderId="1" xfId="0" applyFont="1" applyBorder="1"/>
    <xf numFmtId="164" fontId="4" fillId="0" borderId="1" xfId="0" applyNumberFormat="1" applyFont="1" applyBorder="1"/>
    <xf numFmtId="0" fontId="6" fillId="4" borderId="1" xfId="0" applyFont="1" applyFill="1" applyBorder="1"/>
    <xf numFmtId="164" fontId="6" fillId="4" borderId="1" xfId="0" applyNumberFormat="1" applyFont="1" applyFill="1" applyBorder="1"/>
    <xf numFmtId="0" fontId="3" fillId="2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horizontal="center" vertical="top"/>
    </xf>
    <xf numFmtId="164" fontId="5" fillId="3" borderId="1" xfId="0" applyNumberFormat="1" applyFont="1" applyFill="1" applyBorder="1" applyAlignment="1">
      <alignment vertical="top" wrapText="1"/>
    </xf>
    <xf numFmtId="164" fontId="4" fillId="3" borderId="1" xfId="0" applyNumberFormat="1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/>
    </xf>
    <xf numFmtId="164" fontId="5" fillId="0" borderId="1" xfId="0" applyNumberFormat="1" applyFont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0" fontId="0" fillId="4" borderId="1" xfId="0" applyFill="1" applyBorder="1"/>
    <xf numFmtId="0" fontId="3" fillId="2" borderId="1" xfId="0" applyFont="1" applyFill="1" applyBorder="1"/>
    <xf numFmtId="0" fontId="7" fillId="0" borderId="1" xfId="0" applyFont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8" fillId="6" borderId="2" xfId="0" applyFont="1" applyFill="1" applyBorder="1"/>
    <xf numFmtId="0" fontId="4" fillId="0" borderId="2" xfId="0" applyFont="1" applyBorder="1" applyAlignment="1">
      <alignment vertical="top" wrapText="1"/>
    </xf>
    <xf numFmtId="0" fontId="9" fillId="0" borderId="2" xfId="0" applyFont="1" applyBorder="1" applyAlignment="1">
      <alignment vertical="top" wrapText="1"/>
    </xf>
    <xf numFmtId="0" fontId="10" fillId="0" borderId="0" xfId="0" applyFont="1"/>
    <xf numFmtId="0" fontId="2" fillId="0" borderId="0" xfId="0" applyFont="1" applyAlignment="1">
      <alignment vertical="top" wrapText="1"/>
    </xf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m.littelfuse.com/~/media/automotive/datasheets/fuses/passenger-car-and-commercial-vehicle/blade-fuses/littelfuse_mini_58v_datasheet.pdf" TargetMode="External"/><Relationship Id="rId3" Type="http://schemas.openxmlformats.org/officeDocument/2006/relationships/hyperlink" Target="https://www.greenbikekit.com/electric-bike-kit/rear-bldc/rm-g020-swx02-bafang-hub-motor-750w-500w.html" TargetMode="External"/><Relationship Id="rId7" Type="http://schemas.openxmlformats.org/officeDocument/2006/relationships/hyperlink" Target="https://www.digikey.com/en/products/detail/eaton-bussmann-electrical-division/JJN-50/1645509" TargetMode="External"/><Relationship Id="rId2" Type="http://schemas.openxmlformats.org/officeDocument/2006/relationships/hyperlink" Target="https://endless-sphere.com/sphere/threads/bafang-g020-hub-motor-no-of-poles-gear-reduction-etc.119534/" TargetMode="External"/><Relationship Id="rId1" Type="http://schemas.openxmlformats.org/officeDocument/2006/relationships/hyperlink" Target="https://www.pswpower.com/products/bafang-g020-250w-36v-rear-hub-for-cassette-8-9-10-kit-waterproof-ip65-g020-black-lightconnector-e-bike-conversion-kit-hub-motor-342" TargetMode="External"/><Relationship Id="rId6" Type="http://schemas.openxmlformats.org/officeDocument/2006/relationships/hyperlink" Target="https://jbdbms.com/products/jbd-bms-dh04sa01" TargetMode="External"/><Relationship Id="rId11" Type="http://schemas.openxmlformats.org/officeDocument/2006/relationships/hyperlink" Target="https://leeselectronic.com/en/product/32426-thermal-cutoff-w-manual-reset-130c-250v-10a-n-c.html" TargetMode="External"/><Relationship Id="rId5" Type="http://schemas.openxmlformats.org/officeDocument/2006/relationships/hyperlink" Target="https://ebikes.ca/resources/learn/connectors.html" TargetMode="External"/><Relationship Id="rId10" Type="http://schemas.openxmlformats.org/officeDocument/2006/relationships/hyperlink" Target="https://www.amazon.com/LM2596-Constant-Current-Voltage-Step-Down/dp/B09131S1L5" TargetMode="External"/><Relationship Id="rId4" Type="http://schemas.openxmlformats.org/officeDocument/2006/relationships/hyperlink" Target="https://www.marsantsx.com/blogs/article/higo-9-pin-motor-connector-guide-standards-repair" TargetMode="External"/><Relationship Id="rId9" Type="http://schemas.openxmlformats.org/officeDocument/2006/relationships/hyperlink" Target="https://www.amazon.com/WATERWICH-Battery-Disconnect-Waterproof-Vehicle/dp/B07D5PV84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"/>
  <sheetViews>
    <sheetView tabSelected="1" workbookViewId="0">
      <pane ySplit="9" topLeftCell="A10" activePane="bottomLeft" state="frozen"/>
      <selection pane="bottomLeft"/>
    </sheetView>
  </sheetViews>
  <sheetFormatPr defaultRowHeight="15" x14ac:dyDescent="0.25"/>
  <cols>
    <col min="1" max="1" width="8" customWidth="1"/>
    <col min="2" max="2" width="26" customWidth="1"/>
    <col min="3" max="3" width="9" customWidth="1"/>
    <col min="4" max="4" width="8" customWidth="1"/>
    <col min="5" max="5" width="38" customWidth="1"/>
    <col min="6" max="6" width="40" customWidth="1"/>
    <col min="7" max="7" width="5" customWidth="1"/>
    <col min="8" max="9" width="9" customWidth="1"/>
    <col min="10" max="11" width="10" customWidth="1"/>
    <col min="12" max="12" width="46" customWidth="1"/>
  </cols>
  <sheetData>
    <row r="1" spans="1:12" ht="18" customHeight="1" x14ac:dyDescent="0.25">
      <c r="A1" s="1" t="s">
        <v>0</v>
      </c>
    </row>
    <row r="2" spans="1:12" ht="26.1" customHeight="1" x14ac:dyDescent="0.25">
      <c r="A2" s="24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</row>
    <row r="4" spans="1:12" x14ac:dyDescent="0.25">
      <c r="A4" s="2" t="s">
        <v>2</v>
      </c>
      <c r="B4" s="2" t="s">
        <v>3</v>
      </c>
      <c r="C4" s="2" t="s">
        <v>4</v>
      </c>
    </row>
    <row r="5" spans="1:12" x14ac:dyDescent="0.25">
      <c r="A5" s="3" t="s">
        <v>5</v>
      </c>
      <c r="B5" s="4">
        <f>SUMIFS($J$10:$J$38,$C$10:$C$38,"Motor")</f>
        <v>165</v>
      </c>
      <c r="C5" s="4">
        <f>SUMIFS($K$10:$K$38,$C$10:$C$38,"Motor")</f>
        <v>265</v>
      </c>
    </row>
    <row r="6" spans="1:12" x14ac:dyDescent="0.25">
      <c r="A6" s="3" t="s">
        <v>6</v>
      </c>
      <c r="B6" s="4">
        <f>SUMIFS($J$10:$J$38,$C$10:$C$38,"Power")</f>
        <v>365</v>
      </c>
      <c r="C6" s="4">
        <f>SUMIFS($K$10:$K$38,$C$10:$C$38,"Power")</f>
        <v>365</v>
      </c>
    </row>
    <row r="7" spans="1:12" x14ac:dyDescent="0.25">
      <c r="A7" s="3" t="s">
        <v>7</v>
      </c>
      <c r="B7" s="4">
        <f>SUMIFS($J$10:$J$38,$C$10:$C$38,"Signal")</f>
        <v>64</v>
      </c>
      <c r="C7" s="4">
        <f>SUMIFS($K$10:$K$38,$C$10:$C$38,"Signal")</f>
        <v>64</v>
      </c>
    </row>
    <row r="8" spans="1:12" x14ac:dyDescent="0.25">
      <c r="A8" s="5" t="s">
        <v>8</v>
      </c>
      <c r="B8" s="6">
        <f>SUM(B5:B7)</f>
        <v>594</v>
      </c>
      <c r="C8" s="6">
        <f>SUM(C5:C7)</f>
        <v>694</v>
      </c>
    </row>
    <row r="9" spans="1:12" ht="25.5" customHeight="1" x14ac:dyDescent="0.25">
      <c r="A9" s="7" t="s">
        <v>9</v>
      </c>
      <c r="B9" s="7" t="s">
        <v>10</v>
      </c>
      <c r="C9" s="7" t="s">
        <v>11</v>
      </c>
      <c r="D9" s="7" t="s">
        <v>12</v>
      </c>
      <c r="E9" s="7" t="s">
        <v>13</v>
      </c>
      <c r="F9" s="7" t="s">
        <v>14</v>
      </c>
      <c r="G9" s="7" t="s">
        <v>15</v>
      </c>
      <c r="H9" s="7" t="s">
        <v>16</v>
      </c>
      <c r="I9" s="7" t="s">
        <v>17</v>
      </c>
      <c r="J9" s="7" t="s">
        <v>18</v>
      </c>
      <c r="K9" s="7" t="s">
        <v>19</v>
      </c>
      <c r="L9" s="7" t="s">
        <v>20</v>
      </c>
    </row>
    <row r="10" spans="1:12" ht="38.25" customHeight="1" x14ac:dyDescent="0.25">
      <c r="A10" s="8" t="s">
        <v>21</v>
      </c>
      <c r="B10" s="8" t="s">
        <v>22</v>
      </c>
      <c r="C10" s="8" t="s">
        <v>23</v>
      </c>
      <c r="D10" s="8" t="s">
        <v>23</v>
      </c>
      <c r="E10" s="8" t="s">
        <v>24</v>
      </c>
      <c r="F10" s="8" t="s">
        <v>25</v>
      </c>
      <c r="G10" s="9">
        <v>1</v>
      </c>
      <c r="H10" s="10">
        <v>0</v>
      </c>
      <c r="I10" s="10">
        <v>0</v>
      </c>
      <c r="J10" s="11">
        <f t="shared" ref="J10:J38" si="0">G10*H10</f>
        <v>0</v>
      </c>
      <c r="K10" s="11">
        <f t="shared" ref="K10:K38" si="1">G10*I10</f>
        <v>0</v>
      </c>
      <c r="L10" s="8" t="s">
        <v>26</v>
      </c>
    </row>
    <row r="11" spans="1:12" ht="25.5" customHeight="1" x14ac:dyDescent="0.25">
      <c r="A11" s="8" t="s">
        <v>27</v>
      </c>
      <c r="B11" s="8" t="s">
        <v>28</v>
      </c>
      <c r="C11" s="8" t="s">
        <v>23</v>
      </c>
      <c r="D11" s="8" t="s">
        <v>23</v>
      </c>
      <c r="E11" s="8" t="s">
        <v>29</v>
      </c>
      <c r="F11" s="8" t="s">
        <v>25</v>
      </c>
      <c r="G11" s="9">
        <v>3</v>
      </c>
      <c r="H11" s="10">
        <v>0</v>
      </c>
      <c r="I11" s="10">
        <v>0</v>
      </c>
      <c r="J11" s="11">
        <f t="shared" si="0"/>
        <v>0</v>
      </c>
      <c r="K11" s="11">
        <f t="shared" si="1"/>
        <v>0</v>
      </c>
      <c r="L11" s="8" t="s">
        <v>30</v>
      </c>
    </row>
    <row r="12" spans="1:12" ht="25.5" customHeight="1" x14ac:dyDescent="0.25">
      <c r="A12" s="8" t="s">
        <v>31</v>
      </c>
      <c r="B12" s="8" t="s">
        <v>32</v>
      </c>
      <c r="C12" s="8" t="s">
        <v>23</v>
      </c>
      <c r="D12" s="8" t="s">
        <v>23</v>
      </c>
      <c r="E12" s="8" t="s">
        <v>33</v>
      </c>
      <c r="F12" s="8" t="s">
        <v>34</v>
      </c>
      <c r="G12" s="9">
        <v>1</v>
      </c>
      <c r="H12" s="10">
        <v>0</v>
      </c>
      <c r="I12" s="10">
        <v>0</v>
      </c>
      <c r="J12" s="11">
        <f t="shared" si="0"/>
        <v>0</v>
      </c>
      <c r="K12" s="11">
        <f t="shared" si="1"/>
        <v>0</v>
      </c>
      <c r="L12" s="8" t="s">
        <v>35</v>
      </c>
    </row>
    <row r="13" spans="1:12" x14ac:dyDescent="0.25">
      <c r="A13" s="8" t="s">
        <v>36</v>
      </c>
      <c r="B13" s="8" t="s">
        <v>37</v>
      </c>
      <c r="C13" s="8" t="s">
        <v>23</v>
      </c>
      <c r="D13" s="8" t="s">
        <v>23</v>
      </c>
      <c r="E13" s="8" t="s">
        <v>38</v>
      </c>
      <c r="F13" s="8" t="s">
        <v>39</v>
      </c>
      <c r="G13" s="9">
        <v>1</v>
      </c>
      <c r="H13" s="10">
        <v>0</v>
      </c>
      <c r="I13" s="10">
        <v>0</v>
      </c>
      <c r="J13" s="11">
        <f t="shared" si="0"/>
        <v>0</v>
      </c>
      <c r="K13" s="11">
        <f t="shared" si="1"/>
        <v>0</v>
      </c>
      <c r="L13" s="8"/>
    </row>
    <row r="14" spans="1:12" x14ac:dyDescent="0.25">
      <c r="A14" s="8" t="s">
        <v>40</v>
      </c>
      <c r="B14" s="8" t="s">
        <v>41</v>
      </c>
      <c r="C14" s="8" t="s">
        <v>23</v>
      </c>
      <c r="D14" s="8" t="s">
        <v>23</v>
      </c>
      <c r="E14" s="8" t="s">
        <v>42</v>
      </c>
      <c r="F14" s="8" t="s">
        <v>34</v>
      </c>
      <c r="G14" s="9">
        <v>1</v>
      </c>
      <c r="H14" s="10">
        <v>0</v>
      </c>
      <c r="I14" s="10">
        <v>0</v>
      </c>
      <c r="J14" s="11">
        <f t="shared" si="0"/>
        <v>0</v>
      </c>
      <c r="K14" s="11">
        <f t="shared" si="1"/>
        <v>0</v>
      </c>
      <c r="L14" s="8" t="s">
        <v>43</v>
      </c>
    </row>
    <row r="15" spans="1:12" ht="51" customHeight="1" x14ac:dyDescent="0.25">
      <c r="A15" s="12" t="s">
        <v>44</v>
      </c>
      <c r="B15" s="12" t="s">
        <v>45</v>
      </c>
      <c r="C15" s="12" t="s">
        <v>5</v>
      </c>
      <c r="D15" s="12" t="s">
        <v>46</v>
      </c>
      <c r="E15" s="12" t="s">
        <v>47</v>
      </c>
      <c r="F15" s="12" t="s">
        <v>48</v>
      </c>
      <c r="G15" s="13">
        <v>1</v>
      </c>
      <c r="H15" s="14">
        <v>150</v>
      </c>
      <c r="I15" s="14">
        <v>250</v>
      </c>
      <c r="J15" s="15">
        <f t="shared" si="0"/>
        <v>150</v>
      </c>
      <c r="K15" s="15">
        <f t="shared" si="1"/>
        <v>250</v>
      </c>
      <c r="L15" s="12" t="s">
        <v>49</v>
      </c>
    </row>
    <row r="16" spans="1:12" ht="25.5" customHeight="1" x14ac:dyDescent="0.25">
      <c r="A16" s="12" t="s">
        <v>50</v>
      </c>
      <c r="B16" s="12" t="s">
        <v>51</v>
      </c>
      <c r="C16" s="12" t="s">
        <v>5</v>
      </c>
      <c r="D16" s="12" t="s">
        <v>46</v>
      </c>
      <c r="E16" s="12" t="s">
        <v>52</v>
      </c>
      <c r="F16" s="12" t="s">
        <v>53</v>
      </c>
      <c r="G16" s="13">
        <v>1</v>
      </c>
      <c r="H16" s="14">
        <v>15</v>
      </c>
      <c r="I16" s="14">
        <v>15</v>
      </c>
      <c r="J16" s="15">
        <f t="shared" si="0"/>
        <v>15</v>
      </c>
      <c r="K16" s="15">
        <f t="shared" si="1"/>
        <v>15</v>
      </c>
      <c r="L16" s="12" t="s">
        <v>54</v>
      </c>
    </row>
    <row r="17" spans="1:12" ht="38.25" customHeight="1" x14ac:dyDescent="0.25">
      <c r="A17" s="12" t="s">
        <v>55</v>
      </c>
      <c r="B17" s="12" t="s">
        <v>56</v>
      </c>
      <c r="C17" s="12" t="s">
        <v>6</v>
      </c>
      <c r="D17" s="12" t="s">
        <v>46</v>
      </c>
      <c r="E17" s="12" t="s">
        <v>57</v>
      </c>
      <c r="F17" s="12" t="s">
        <v>58</v>
      </c>
      <c r="G17" s="13">
        <v>1</v>
      </c>
      <c r="H17" s="14">
        <v>40</v>
      </c>
      <c r="I17" s="14">
        <v>40</v>
      </c>
      <c r="J17" s="15">
        <f t="shared" si="0"/>
        <v>40</v>
      </c>
      <c r="K17" s="15">
        <f t="shared" si="1"/>
        <v>40</v>
      </c>
      <c r="L17" s="12" t="s">
        <v>59</v>
      </c>
    </row>
    <row r="18" spans="1:12" ht="38.25" customHeight="1" x14ac:dyDescent="0.25">
      <c r="A18" s="12" t="s">
        <v>55</v>
      </c>
      <c r="B18" s="12" t="s">
        <v>60</v>
      </c>
      <c r="C18" s="12" t="s">
        <v>6</v>
      </c>
      <c r="D18" s="12" t="s">
        <v>46</v>
      </c>
      <c r="E18" s="12" t="s">
        <v>61</v>
      </c>
      <c r="F18" s="12" t="s">
        <v>62</v>
      </c>
      <c r="G18" s="13">
        <v>1</v>
      </c>
      <c r="H18" s="14">
        <v>25</v>
      </c>
      <c r="I18" s="14">
        <v>25</v>
      </c>
      <c r="J18" s="15">
        <f t="shared" si="0"/>
        <v>25</v>
      </c>
      <c r="K18" s="15">
        <f t="shared" si="1"/>
        <v>25</v>
      </c>
      <c r="L18" s="12" t="s">
        <v>63</v>
      </c>
    </row>
    <row r="19" spans="1:12" ht="25.5" customHeight="1" x14ac:dyDescent="0.25">
      <c r="A19" s="12" t="s">
        <v>64</v>
      </c>
      <c r="B19" s="12" t="s">
        <v>65</v>
      </c>
      <c r="C19" s="12" t="s">
        <v>6</v>
      </c>
      <c r="D19" s="12" t="s">
        <v>46</v>
      </c>
      <c r="E19" s="12" t="s">
        <v>66</v>
      </c>
      <c r="F19" s="12" t="s">
        <v>67</v>
      </c>
      <c r="G19" s="13">
        <v>1</v>
      </c>
      <c r="H19" s="14">
        <v>60</v>
      </c>
      <c r="I19" s="14">
        <v>60</v>
      </c>
      <c r="J19" s="15">
        <f t="shared" si="0"/>
        <v>60</v>
      </c>
      <c r="K19" s="15">
        <f t="shared" si="1"/>
        <v>60</v>
      </c>
      <c r="L19" s="12" t="s">
        <v>68</v>
      </c>
    </row>
    <row r="20" spans="1:12" ht="25.5" customHeight="1" x14ac:dyDescent="0.25">
      <c r="A20" s="12" t="s">
        <v>69</v>
      </c>
      <c r="B20" s="12" t="s">
        <v>70</v>
      </c>
      <c r="C20" s="12" t="s">
        <v>6</v>
      </c>
      <c r="D20" s="12" t="s">
        <v>46</v>
      </c>
      <c r="E20" s="12" t="s">
        <v>71</v>
      </c>
      <c r="F20" s="12" t="s">
        <v>72</v>
      </c>
      <c r="G20" s="13">
        <v>1</v>
      </c>
      <c r="H20" s="14">
        <v>8</v>
      </c>
      <c r="I20" s="14">
        <v>8</v>
      </c>
      <c r="J20" s="15">
        <f t="shared" si="0"/>
        <v>8</v>
      </c>
      <c r="K20" s="15">
        <f t="shared" si="1"/>
        <v>8</v>
      </c>
      <c r="L20" s="12" t="s">
        <v>73</v>
      </c>
    </row>
    <row r="21" spans="1:12" ht="25.5" customHeight="1" x14ac:dyDescent="0.25">
      <c r="A21" s="12" t="s">
        <v>74</v>
      </c>
      <c r="B21" s="12" t="s">
        <v>75</v>
      </c>
      <c r="C21" s="12" t="s">
        <v>6</v>
      </c>
      <c r="D21" s="12" t="s">
        <v>46</v>
      </c>
      <c r="E21" s="12" t="s">
        <v>76</v>
      </c>
      <c r="F21" s="12" t="s">
        <v>77</v>
      </c>
      <c r="G21" s="13">
        <v>1</v>
      </c>
      <c r="H21" s="14">
        <v>35</v>
      </c>
      <c r="I21" s="14">
        <v>35</v>
      </c>
      <c r="J21" s="15">
        <f t="shared" si="0"/>
        <v>35</v>
      </c>
      <c r="K21" s="15">
        <f t="shared" si="1"/>
        <v>35</v>
      </c>
      <c r="L21" s="12" t="s">
        <v>78</v>
      </c>
    </row>
    <row r="22" spans="1:12" ht="38.25" customHeight="1" x14ac:dyDescent="0.25">
      <c r="A22" s="12" t="s">
        <v>79</v>
      </c>
      <c r="B22" s="12" t="s">
        <v>80</v>
      </c>
      <c r="C22" s="12" t="s">
        <v>6</v>
      </c>
      <c r="D22" s="12" t="s">
        <v>46</v>
      </c>
      <c r="E22" s="12" t="s">
        <v>81</v>
      </c>
      <c r="F22" s="12" t="s">
        <v>82</v>
      </c>
      <c r="G22" s="13">
        <v>1</v>
      </c>
      <c r="H22" s="14">
        <v>8</v>
      </c>
      <c r="I22" s="14">
        <v>8</v>
      </c>
      <c r="J22" s="15">
        <f t="shared" si="0"/>
        <v>8</v>
      </c>
      <c r="K22" s="15">
        <f t="shared" si="1"/>
        <v>8</v>
      </c>
      <c r="L22" s="12" t="s">
        <v>83</v>
      </c>
    </row>
    <row r="23" spans="1:12" ht="25.5" customHeight="1" x14ac:dyDescent="0.25">
      <c r="A23" s="12" t="s">
        <v>84</v>
      </c>
      <c r="B23" s="12" t="s">
        <v>85</v>
      </c>
      <c r="C23" s="12" t="s">
        <v>6</v>
      </c>
      <c r="D23" s="12" t="s">
        <v>46</v>
      </c>
      <c r="E23" s="12" t="s">
        <v>86</v>
      </c>
      <c r="F23" s="12" t="s">
        <v>87</v>
      </c>
      <c r="G23" s="13">
        <v>1</v>
      </c>
      <c r="H23" s="14">
        <v>2</v>
      </c>
      <c r="I23" s="14">
        <v>2</v>
      </c>
      <c r="J23" s="15">
        <f t="shared" si="0"/>
        <v>2</v>
      </c>
      <c r="K23" s="15">
        <f t="shared" si="1"/>
        <v>2</v>
      </c>
      <c r="L23" s="12"/>
    </row>
    <row r="24" spans="1:12" ht="25.5" customHeight="1" x14ac:dyDescent="0.25">
      <c r="A24" s="12" t="s">
        <v>88</v>
      </c>
      <c r="B24" s="12" t="s">
        <v>89</v>
      </c>
      <c r="C24" s="12" t="s">
        <v>6</v>
      </c>
      <c r="D24" s="12" t="s">
        <v>46</v>
      </c>
      <c r="E24" s="12" t="s">
        <v>90</v>
      </c>
      <c r="F24" s="12" t="s">
        <v>91</v>
      </c>
      <c r="G24" s="13">
        <v>1</v>
      </c>
      <c r="H24" s="14">
        <v>70</v>
      </c>
      <c r="I24" s="14">
        <v>70</v>
      </c>
      <c r="J24" s="15">
        <f t="shared" si="0"/>
        <v>70</v>
      </c>
      <c r="K24" s="15">
        <f t="shared" si="1"/>
        <v>70</v>
      </c>
      <c r="L24" s="12" t="s">
        <v>92</v>
      </c>
    </row>
    <row r="25" spans="1:12" ht="38.25" customHeight="1" x14ac:dyDescent="0.25">
      <c r="A25" s="12" t="s">
        <v>93</v>
      </c>
      <c r="B25" s="12" t="s">
        <v>94</v>
      </c>
      <c r="C25" s="12" t="s">
        <v>6</v>
      </c>
      <c r="D25" s="12" t="s">
        <v>46</v>
      </c>
      <c r="E25" s="12" t="s">
        <v>95</v>
      </c>
      <c r="F25" s="12" t="s">
        <v>96</v>
      </c>
      <c r="G25" s="13">
        <v>1</v>
      </c>
      <c r="H25" s="14">
        <v>35</v>
      </c>
      <c r="I25" s="14">
        <v>35</v>
      </c>
      <c r="J25" s="15">
        <f t="shared" si="0"/>
        <v>35</v>
      </c>
      <c r="K25" s="15">
        <f t="shared" si="1"/>
        <v>35</v>
      </c>
      <c r="L25" s="12" t="s">
        <v>97</v>
      </c>
    </row>
    <row r="26" spans="1:12" ht="25.5" customHeight="1" x14ac:dyDescent="0.25">
      <c r="A26" s="12" t="s">
        <v>98</v>
      </c>
      <c r="B26" s="12" t="s">
        <v>70</v>
      </c>
      <c r="C26" s="12" t="s">
        <v>6</v>
      </c>
      <c r="D26" s="12" t="s">
        <v>46</v>
      </c>
      <c r="E26" s="12" t="s">
        <v>99</v>
      </c>
      <c r="F26" s="12" t="s">
        <v>100</v>
      </c>
      <c r="G26" s="13">
        <v>1</v>
      </c>
      <c r="H26" s="14">
        <v>6</v>
      </c>
      <c r="I26" s="14">
        <v>6</v>
      </c>
      <c r="J26" s="15">
        <f t="shared" si="0"/>
        <v>6</v>
      </c>
      <c r="K26" s="15">
        <f t="shared" si="1"/>
        <v>6</v>
      </c>
      <c r="L26" s="12"/>
    </row>
    <row r="27" spans="1:12" ht="25.5" customHeight="1" x14ac:dyDescent="0.25">
      <c r="A27" s="12" t="s">
        <v>101</v>
      </c>
      <c r="B27" s="12" t="s">
        <v>102</v>
      </c>
      <c r="C27" s="12" t="s">
        <v>6</v>
      </c>
      <c r="D27" s="12" t="s">
        <v>46</v>
      </c>
      <c r="E27" s="12" t="s">
        <v>103</v>
      </c>
      <c r="F27" s="12" t="s">
        <v>104</v>
      </c>
      <c r="G27" s="13">
        <v>2</v>
      </c>
      <c r="H27" s="14">
        <v>10</v>
      </c>
      <c r="I27" s="14">
        <v>10</v>
      </c>
      <c r="J27" s="15">
        <f t="shared" si="0"/>
        <v>20</v>
      </c>
      <c r="K27" s="15">
        <f t="shared" si="1"/>
        <v>20</v>
      </c>
      <c r="L27" s="12" t="s">
        <v>105</v>
      </c>
    </row>
    <row r="28" spans="1:12" x14ac:dyDescent="0.25">
      <c r="A28" s="12" t="s">
        <v>106</v>
      </c>
      <c r="B28" s="12" t="s">
        <v>107</v>
      </c>
      <c r="C28" s="12" t="s">
        <v>6</v>
      </c>
      <c r="D28" s="12" t="s">
        <v>46</v>
      </c>
      <c r="E28" s="12" t="s">
        <v>108</v>
      </c>
      <c r="F28" s="12" t="s">
        <v>109</v>
      </c>
      <c r="G28" s="13">
        <v>1</v>
      </c>
      <c r="H28" s="14">
        <v>1</v>
      </c>
      <c r="I28" s="14">
        <v>1</v>
      </c>
      <c r="J28" s="15">
        <f t="shared" si="0"/>
        <v>1</v>
      </c>
      <c r="K28" s="15">
        <f t="shared" si="1"/>
        <v>1</v>
      </c>
      <c r="L28" s="12"/>
    </row>
    <row r="29" spans="1:12" ht="25.5" customHeight="1" x14ac:dyDescent="0.25">
      <c r="A29" s="12" t="s">
        <v>40</v>
      </c>
      <c r="B29" s="12" t="s">
        <v>110</v>
      </c>
      <c r="C29" s="12" t="s">
        <v>6</v>
      </c>
      <c r="D29" s="12" t="s">
        <v>46</v>
      </c>
      <c r="E29" s="12" t="s">
        <v>111</v>
      </c>
      <c r="F29" s="12" t="s">
        <v>112</v>
      </c>
      <c r="G29" s="13">
        <v>1</v>
      </c>
      <c r="H29" s="14">
        <v>40</v>
      </c>
      <c r="I29" s="14">
        <v>40</v>
      </c>
      <c r="J29" s="15">
        <f t="shared" si="0"/>
        <v>40</v>
      </c>
      <c r="K29" s="15">
        <f t="shared" si="1"/>
        <v>40</v>
      </c>
      <c r="L29" s="12" t="s">
        <v>113</v>
      </c>
    </row>
    <row r="30" spans="1:12" ht="25.5" customHeight="1" x14ac:dyDescent="0.25">
      <c r="A30" s="12" t="s">
        <v>40</v>
      </c>
      <c r="B30" s="12" t="s">
        <v>114</v>
      </c>
      <c r="C30" s="12" t="s">
        <v>6</v>
      </c>
      <c r="D30" s="12" t="s">
        <v>46</v>
      </c>
      <c r="E30" s="12" t="s">
        <v>115</v>
      </c>
      <c r="F30" s="12" t="s">
        <v>112</v>
      </c>
      <c r="G30" s="13">
        <v>1</v>
      </c>
      <c r="H30" s="14">
        <v>15</v>
      </c>
      <c r="I30" s="14">
        <v>15</v>
      </c>
      <c r="J30" s="15">
        <f t="shared" si="0"/>
        <v>15</v>
      </c>
      <c r="K30" s="15">
        <f t="shared" si="1"/>
        <v>15</v>
      </c>
      <c r="L30" s="12"/>
    </row>
    <row r="31" spans="1:12" ht="25.5" customHeight="1" x14ac:dyDescent="0.25">
      <c r="A31" s="12" t="s">
        <v>116</v>
      </c>
      <c r="B31" s="12" t="s">
        <v>117</v>
      </c>
      <c r="C31" s="12" t="s">
        <v>7</v>
      </c>
      <c r="D31" s="12" t="s">
        <v>46</v>
      </c>
      <c r="E31" s="12" t="s">
        <v>118</v>
      </c>
      <c r="F31" s="12" t="s">
        <v>119</v>
      </c>
      <c r="G31" s="13">
        <v>1</v>
      </c>
      <c r="H31" s="14">
        <v>10</v>
      </c>
      <c r="I31" s="14">
        <v>10</v>
      </c>
      <c r="J31" s="15">
        <f t="shared" si="0"/>
        <v>10</v>
      </c>
      <c r="K31" s="15">
        <f t="shared" si="1"/>
        <v>10</v>
      </c>
      <c r="L31" s="12" t="s">
        <v>120</v>
      </c>
    </row>
    <row r="32" spans="1:12" ht="25.5" customHeight="1" x14ac:dyDescent="0.25">
      <c r="A32" s="12" t="s">
        <v>121</v>
      </c>
      <c r="B32" s="12" t="s">
        <v>122</v>
      </c>
      <c r="C32" s="12" t="s">
        <v>7</v>
      </c>
      <c r="D32" s="12" t="s">
        <v>46</v>
      </c>
      <c r="E32" s="12" t="s">
        <v>123</v>
      </c>
      <c r="F32" s="12" t="s">
        <v>124</v>
      </c>
      <c r="G32" s="13">
        <v>2</v>
      </c>
      <c r="H32" s="14">
        <v>1</v>
      </c>
      <c r="I32" s="14">
        <v>1</v>
      </c>
      <c r="J32" s="15">
        <f t="shared" si="0"/>
        <v>2</v>
      </c>
      <c r="K32" s="15">
        <f t="shared" si="1"/>
        <v>2</v>
      </c>
      <c r="L32" s="12" t="s">
        <v>125</v>
      </c>
    </row>
    <row r="33" spans="1:12" x14ac:dyDescent="0.25">
      <c r="A33" s="12" t="s">
        <v>126</v>
      </c>
      <c r="B33" s="12" t="s">
        <v>127</v>
      </c>
      <c r="C33" s="12" t="s">
        <v>7</v>
      </c>
      <c r="D33" s="12" t="s">
        <v>46</v>
      </c>
      <c r="E33" s="12" t="s">
        <v>128</v>
      </c>
      <c r="F33" s="12" t="s">
        <v>129</v>
      </c>
      <c r="G33" s="13">
        <v>1</v>
      </c>
      <c r="H33" s="14">
        <v>12</v>
      </c>
      <c r="I33" s="14">
        <v>12</v>
      </c>
      <c r="J33" s="15">
        <f t="shared" si="0"/>
        <v>12</v>
      </c>
      <c r="K33" s="15">
        <f t="shared" si="1"/>
        <v>12</v>
      </c>
      <c r="L33" s="12"/>
    </row>
    <row r="34" spans="1:12" x14ac:dyDescent="0.25">
      <c r="A34" s="12" t="s">
        <v>130</v>
      </c>
      <c r="B34" s="12" t="s">
        <v>131</v>
      </c>
      <c r="C34" s="12" t="s">
        <v>7</v>
      </c>
      <c r="D34" s="12" t="s">
        <v>46</v>
      </c>
      <c r="E34" s="12" t="s">
        <v>132</v>
      </c>
      <c r="F34" s="12" t="s">
        <v>133</v>
      </c>
      <c r="G34" s="13">
        <v>2</v>
      </c>
      <c r="H34" s="14">
        <v>1</v>
      </c>
      <c r="I34" s="14">
        <v>1</v>
      </c>
      <c r="J34" s="15">
        <f t="shared" si="0"/>
        <v>2</v>
      </c>
      <c r="K34" s="15">
        <f t="shared" si="1"/>
        <v>2</v>
      </c>
      <c r="L34" s="12"/>
    </row>
    <row r="35" spans="1:12" x14ac:dyDescent="0.25">
      <c r="A35" s="12" t="s">
        <v>134</v>
      </c>
      <c r="B35" s="12" t="s">
        <v>135</v>
      </c>
      <c r="C35" s="12" t="s">
        <v>7</v>
      </c>
      <c r="D35" s="12" t="s">
        <v>46</v>
      </c>
      <c r="E35" s="12" t="s">
        <v>136</v>
      </c>
      <c r="F35" s="12" t="s">
        <v>137</v>
      </c>
      <c r="G35" s="13">
        <v>1</v>
      </c>
      <c r="H35" s="14">
        <v>8</v>
      </c>
      <c r="I35" s="14">
        <v>8</v>
      </c>
      <c r="J35" s="15">
        <f t="shared" si="0"/>
        <v>8</v>
      </c>
      <c r="K35" s="15">
        <f t="shared" si="1"/>
        <v>8</v>
      </c>
      <c r="L35" s="12"/>
    </row>
    <row r="36" spans="1:12" ht="25.5" customHeight="1" x14ac:dyDescent="0.25">
      <c r="A36" s="12" t="s">
        <v>138</v>
      </c>
      <c r="B36" s="12" t="s">
        <v>139</v>
      </c>
      <c r="C36" s="12" t="s">
        <v>7</v>
      </c>
      <c r="D36" s="12" t="s">
        <v>46</v>
      </c>
      <c r="E36" s="12" t="s">
        <v>140</v>
      </c>
      <c r="F36" s="12" t="s">
        <v>141</v>
      </c>
      <c r="G36" s="13">
        <v>2</v>
      </c>
      <c r="H36" s="14">
        <v>1</v>
      </c>
      <c r="I36" s="14">
        <v>1</v>
      </c>
      <c r="J36" s="15">
        <f t="shared" si="0"/>
        <v>2</v>
      </c>
      <c r="K36" s="15">
        <f t="shared" si="1"/>
        <v>2</v>
      </c>
      <c r="L36" s="12"/>
    </row>
    <row r="37" spans="1:12" x14ac:dyDescent="0.25">
      <c r="A37" s="12" t="s">
        <v>142</v>
      </c>
      <c r="B37" s="12" t="s">
        <v>143</v>
      </c>
      <c r="C37" s="12" t="s">
        <v>7</v>
      </c>
      <c r="D37" s="12" t="s">
        <v>46</v>
      </c>
      <c r="E37" s="12" t="s">
        <v>144</v>
      </c>
      <c r="F37" s="12" t="s">
        <v>145</v>
      </c>
      <c r="G37" s="13">
        <v>1</v>
      </c>
      <c r="H37" s="14">
        <v>8</v>
      </c>
      <c r="I37" s="14">
        <v>8</v>
      </c>
      <c r="J37" s="15">
        <f t="shared" si="0"/>
        <v>8</v>
      </c>
      <c r="K37" s="15">
        <f t="shared" si="1"/>
        <v>8</v>
      </c>
      <c r="L37" s="12"/>
    </row>
    <row r="38" spans="1:12" ht="25.5" customHeight="1" x14ac:dyDescent="0.25">
      <c r="A38" s="12" t="s">
        <v>40</v>
      </c>
      <c r="B38" s="12" t="s">
        <v>146</v>
      </c>
      <c r="C38" s="12" t="s">
        <v>7</v>
      </c>
      <c r="D38" s="12" t="s">
        <v>46</v>
      </c>
      <c r="E38" s="12" t="s">
        <v>147</v>
      </c>
      <c r="F38" s="12" t="s">
        <v>112</v>
      </c>
      <c r="G38" s="13">
        <v>1</v>
      </c>
      <c r="H38" s="14">
        <v>20</v>
      </c>
      <c r="I38" s="14">
        <v>20</v>
      </c>
      <c r="J38" s="15">
        <f t="shared" si="0"/>
        <v>20</v>
      </c>
      <c r="K38" s="15">
        <f t="shared" si="1"/>
        <v>20</v>
      </c>
      <c r="L38" s="12" t="s">
        <v>148</v>
      </c>
    </row>
    <row r="39" spans="1:12" x14ac:dyDescent="0.25">
      <c r="A39" s="16"/>
      <c r="B39" s="16"/>
      <c r="C39" s="16"/>
      <c r="D39" s="16"/>
      <c r="E39" s="16"/>
      <c r="F39" s="5" t="s">
        <v>149</v>
      </c>
      <c r="G39" s="16"/>
      <c r="H39" s="16"/>
      <c r="I39" s="16"/>
      <c r="J39" s="6">
        <f>SUM(J10:J38)</f>
        <v>594</v>
      </c>
      <c r="K39" s="6">
        <f>SUM(K10:K38)</f>
        <v>694</v>
      </c>
      <c r="L39" s="16"/>
    </row>
  </sheetData>
  <mergeCells count="1">
    <mergeCell ref="A2:L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24" customWidth="1"/>
    <col min="2" max="2" width="52" customWidth="1"/>
    <col min="3" max="3" width="40" customWidth="1"/>
    <col min="4" max="4" width="16" customWidth="1"/>
  </cols>
  <sheetData>
    <row r="1" spans="1:4" ht="18" customHeight="1" x14ac:dyDescent="0.25">
      <c r="A1" s="1" t="s">
        <v>150</v>
      </c>
    </row>
    <row r="2" spans="1:4" ht="26.1" customHeight="1" x14ac:dyDescent="0.25">
      <c r="A2" s="24" t="s">
        <v>151</v>
      </c>
      <c r="B2" s="25"/>
      <c r="C2" s="25"/>
      <c r="D2" s="25"/>
    </row>
    <row r="4" spans="1:4" x14ac:dyDescent="0.25">
      <c r="A4" s="17" t="s">
        <v>152</v>
      </c>
      <c r="B4" s="17" t="s">
        <v>153</v>
      </c>
      <c r="C4" s="17" t="s">
        <v>154</v>
      </c>
      <c r="D4" s="17" t="s">
        <v>12</v>
      </c>
    </row>
    <row r="5" spans="1:4" ht="25.5" customHeight="1" x14ac:dyDescent="0.25">
      <c r="A5" s="12" t="s">
        <v>155</v>
      </c>
      <c r="B5" s="12" t="s">
        <v>156</v>
      </c>
      <c r="C5" s="12" t="s">
        <v>157</v>
      </c>
      <c r="D5" s="12" t="s">
        <v>158</v>
      </c>
    </row>
    <row r="6" spans="1:4" ht="25.5" customHeight="1" x14ac:dyDescent="0.25">
      <c r="A6" s="12" t="s">
        <v>159</v>
      </c>
      <c r="B6" s="12" t="s">
        <v>160</v>
      </c>
      <c r="C6" s="12" t="s">
        <v>161</v>
      </c>
      <c r="D6" s="12" t="s">
        <v>158</v>
      </c>
    </row>
    <row r="7" spans="1:4" x14ac:dyDescent="0.25">
      <c r="A7" s="12" t="s">
        <v>162</v>
      </c>
      <c r="B7" s="12" t="s">
        <v>163</v>
      </c>
      <c r="C7" s="12" t="s">
        <v>164</v>
      </c>
      <c r="D7" s="12" t="s">
        <v>165</v>
      </c>
    </row>
    <row r="8" spans="1:4" x14ac:dyDescent="0.25">
      <c r="A8" s="12" t="s">
        <v>166</v>
      </c>
      <c r="B8" s="12" t="s">
        <v>167</v>
      </c>
      <c r="C8" s="12" t="s">
        <v>168</v>
      </c>
      <c r="D8" s="12" t="s">
        <v>158</v>
      </c>
    </row>
    <row r="9" spans="1:4" ht="38.25" customHeight="1" x14ac:dyDescent="0.25">
      <c r="A9" s="12" t="s">
        <v>169</v>
      </c>
      <c r="B9" s="12" t="s">
        <v>170</v>
      </c>
      <c r="C9" s="12" t="s">
        <v>171</v>
      </c>
      <c r="D9" s="12" t="s">
        <v>172</v>
      </c>
    </row>
    <row r="10" spans="1:4" ht="25.5" customHeight="1" x14ac:dyDescent="0.25">
      <c r="A10" s="12" t="s">
        <v>173</v>
      </c>
      <c r="B10" s="12" t="s">
        <v>174</v>
      </c>
      <c r="C10" s="12" t="s">
        <v>175</v>
      </c>
      <c r="D10" s="12" t="s">
        <v>158</v>
      </c>
    </row>
    <row r="11" spans="1:4" ht="25.5" customHeight="1" x14ac:dyDescent="0.25">
      <c r="A11" s="12" t="s">
        <v>176</v>
      </c>
      <c r="B11" s="12" t="s">
        <v>177</v>
      </c>
      <c r="C11" s="12" t="s">
        <v>178</v>
      </c>
      <c r="D11" s="12" t="s">
        <v>158</v>
      </c>
    </row>
    <row r="12" spans="1:4" ht="38.25" customHeight="1" x14ac:dyDescent="0.25">
      <c r="A12" s="12" t="s">
        <v>179</v>
      </c>
      <c r="B12" s="12" t="s">
        <v>180</v>
      </c>
      <c r="C12" s="12" t="s">
        <v>181</v>
      </c>
      <c r="D12" s="12" t="s">
        <v>158</v>
      </c>
    </row>
    <row r="13" spans="1:4" ht="38.25" customHeight="1" x14ac:dyDescent="0.25">
      <c r="A13" s="12" t="s">
        <v>182</v>
      </c>
      <c r="B13" s="12" t="s">
        <v>183</v>
      </c>
      <c r="C13" s="12" t="s">
        <v>184</v>
      </c>
      <c r="D13" s="12" t="s">
        <v>185</v>
      </c>
    </row>
    <row r="14" spans="1:4" ht="25.5" customHeight="1" x14ac:dyDescent="0.25">
      <c r="A14" s="12" t="s">
        <v>186</v>
      </c>
      <c r="B14" s="12" t="s">
        <v>187</v>
      </c>
      <c r="C14" s="12" t="s">
        <v>188</v>
      </c>
      <c r="D14" s="12" t="s">
        <v>189</v>
      </c>
    </row>
    <row r="15" spans="1:4" x14ac:dyDescent="0.25">
      <c r="A15" s="12" t="s">
        <v>190</v>
      </c>
      <c r="B15" s="12" t="s">
        <v>191</v>
      </c>
      <c r="C15" s="12" t="s">
        <v>192</v>
      </c>
      <c r="D15" s="12" t="s">
        <v>193</v>
      </c>
    </row>
    <row r="16" spans="1:4" ht="25.5" customHeight="1" x14ac:dyDescent="0.25">
      <c r="A16" s="12" t="s">
        <v>194</v>
      </c>
      <c r="B16" s="12" t="s">
        <v>195</v>
      </c>
      <c r="C16" s="12" t="s">
        <v>196</v>
      </c>
      <c r="D16" s="12" t="s">
        <v>197</v>
      </c>
    </row>
    <row r="17" spans="1:4" ht="25.5" customHeight="1" x14ac:dyDescent="0.25">
      <c r="A17" s="12" t="s">
        <v>198</v>
      </c>
      <c r="B17" s="12" t="s">
        <v>199</v>
      </c>
      <c r="C17" s="12" t="s">
        <v>200</v>
      </c>
      <c r="D17" s="12" t="s">
        <v>158</v>
      </c>
    </row>
    <row r="18" spans="1:4" ht="25.5" customHeight="1" x14ac:dyDescent="0.25">
      <c r="A18" s="12" t="s">
        <v>93</v>
      </c>
      <c r="B18" s="12" t="s">
        <v>201</v>
      </c>
      <c r="C18" s="12" t="s">
        <v>202</v>
      </c>
      <c r="D18" s="12" t="s">
        <v>203</v>
      </c>
    </row>
    <row r="19" spans="1:4" ht="25.5" customHeight="1" x14ac:dyDescent="0.25">
      <c r="A19" s="12" t="s">
        <v>204</v>
      </c>
      <c r="B19" s="12" t="s">
        <v>205</v>
      </c>
      <c r="C19" s="12" t="s">
        <v>206</v>
      </c>
      <c r="D19" s="12" t="s">
        <v>158</v>
      </c>
    </row>
    <row r="20" spans="1:4" x14ac:dyDescent="0.25">
      <c r="A20" s="12" t="s">
        <v>88</v>
      </c>
      <c r="B20" s="12" t="s">
        <v>207</v>
      </c>
      <c r="C20" s="12" t="s">
        <v>208</v>
      </c>
      <c r="D20" s="12" t="s">
        <v>158</v>
      </c>
    </row>
  </sheetData>
  <mergeCells count="1"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4" customWidth="1"/>
    <col min="2" max="2" width="26" customWidth="1"/>
    <col min="3" max="3" width="58" customWidth="1"/>
    <col min="4" max="4" width="16" customWidth="1"/>
    <col min="5" max="5" width="22" customWidth="1"/>
    <col min="6" max="6" width="12" customWidth="1"/>
  </cols>
  <sheetData>
    <row r="1" spans="1:6" ht="18" customHeight="1" x14ac:dyDescent="0.25">
      <c r="A1" s="1" t="s">
        <v>209</v>
      </c>
    </row>
    <row r="2" spans="1:6" x14ac:dyDescent="0.25">
      <c r="A2" s="26" t="s">
        <v>210</v>
      </c>
      <c r="B2" s="25"/>
      <c r="C2" s="25"/>
      <c r="D2" s="25"/>
      <c r="E2" s="25"/>
      <c r="F2" s="25"/>
    </row>
    <row r="4" spans="1:6" x14ac:dyDescent="0.25">
      <c r="A4" s="17" t="s">
        <v>211</v>
      </c>
      <c r="B4" s="17" t="s">
        <v>10</v>
      </c>
      <c r="C4" s="17" t="s">
        <v>212</v>
      </c>
      <c r="D4" s="17" t="s">
        <v>213</v>
      </c>
      <c r="E4" s="17" t="s">
        <v>154</v>
      </c>
      <c r="F4" s="17" t="s">
        <v>214</v>
      </c>
    </row>
    <row r="5" spans="1:6" x14ac:dyDescent="0.25">
      <c r="A5" s="18" t="s">
        <v>215</v>
      </c>
      <c r="B5" s="18" t="s">
        <v>216</v>
      </c>
      <c r="C5" s="18" t="s">
        <v>217</v>
      </c>
      <c r="D5" s="18" t="s">
        <v>40</v>
      </c>
      <c r="E5" s="18" t="s">
        <v>218</v>
      </c>
      <c r="F5" s="18" t="s">
        <v>219</v>
      </c>
    </row>
    <row r="6" spans="1:6" ht="38.25" customHeight="1" x14ac:dyDescent="0.25">
      <c r="A6" s="12">
        <v>1</v>
      </c>
      <c r="B6" s="12" t="s">
        <v>220</v>
      </c>
      <c r="C6" s="12" t="s">
        <v>221</v>
      </c>
      <c r="D6" s="12" t="s">
        <v>222</v>
      </c>
      <c r="E6" s="19"/>
      <c r="F6" s="19"/>
    </row>
    <row r="7" spans="1:6" ht="25.5" customHeight="1" x14ac:dyDescent="0.25">
      <c r="A7" s="12">
        <v>2</v>
      </c>
      <c r="B7" s="12" t="s">
        <v>223</v>
      </c>
      <c r="C7" s="12" t="s">
        <v>224</v>
      </c>
      <c r="D7" s="12" t="s">
        <v>225</v>
      </c>
      <c r="E7" s="19"/>
      <c r="F7" s="19"/>
    </row>
    <row r="8" spans="1:6" ht="25.5" customHeight="1" x14ac:dyDescent="0.25">
      <c r="A8" s="12">
        <v>3</v>
      </c>
      <c r="B8" s="12" t="s">
        <v>226</v>
      </c>
      <c r="C8" s="12" t="s">
        <v>227</v>
      </c>
      <c r="D8" s="12" t="s">
        <v>228</v>
      </c>
      <c r="E8" s="19"/>
      <c r="F8" s="19"/>
    </row>
    <row r="9" spans="1:6" ht="25.5" customHeight="1" x14ac:dyDescent="0.25">
      <c r="A9" s="12">
        <v>4</v>
      </c>
      <c r="B9" s="12" t="s">
        <v>229</v>
      </c>
      <c r="C9" s="12" t="s">
        <v>230</v>
      </c>
      <c r="D9" s="12" t="s">
        <v>231</v>
      </c>
      <c r="E9" s="19"/>
      <c r="F9" s="19"/>
    </row>
    <row r="10" spans="1:6" x14ac:dyDescent="0.25">
      <c r="A10" s="12">
        <v>5</v>
      </c>
      <c r="B10" s="12" t="s">
        <v>232</v>
      </c>
      <c r="C10" s="12" t="s">
        <v>233</v>
      </c>
      <c r="D10" s="12" t="s">
        <v>234</v>
      </c>
      <c r="E10" s="19"/>
      <c r="F10" s="19"/>
    </row>
    <row r="11" spans="1:6" ht="25.5" customHeight="1" x14ac:dyDescent="0.25">
      <c r="A11" s="12">
        <v>6</v>
      </c>
      <c r="B11" s="12" t="s">
        <v>235</v>
      </c>
      <c r="C11" s="12" t="s">
        <v>236</v>
      </c>
      <c r="D11" s="12" t="s">
        <v>228</v>
      </c>
      <c r="E11" s="19"/>
      <c r="F11" s="19"/>
    </row>
    <row r="12" spans="1:6" x14ac:dyDescent="0.25">
      <c r="A12" s="12">
        <v>7</v>
      </c>
      <c r="B12" s="12" t="s">
        <v>237</v>
      </c>
      <c r="C12" s="12" t="s">
        <v>238</v>
      </c>
      <c r="D12" s="12" t="s">
        <v>239</v>
      </c>
      <c r="E12" s="19"/>
      <c r="F12" s="19"/>
    </row>
    <row r="13" spans="1:6" ht="25.5" customHeight="1" x14ac:dyDescent="0.25">
      <c r="A13" s="12">
        <v>8</v>
      </c>
      <c r="B13" s="12" t="s">
        <v>240</v>
      </c>
      <c r="C13" s="12" t="s">
        <v>241</v>
      </c>
      <c r="D13" s="12" t="s">
        <v>242</v>
      </c>
      <c r="E13" s="19"/>
      <c r="F13" s="19"/>
    </row>
    <row r="14" spans="1:6" x14ac:dyDescent="0.25">
      <c r="A14" s="12">
        <v>9</v>
      </c>
      <c r="B14" s="12" t="s">
        <v>243</v>
      </c>
      <c r="C14" s="12" t="s">
        <v>244</v>
      </c>
      <c r="D14" s="12" t="s">
        <v>245</v>
      </c>
      <c r="E14" s="19"/>
      <c r="F14" s="19"/>
    </row>
  </sheetData>
  <mergeCells count="1">
    <mergeCell ref="A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/>
  </sheetViews>
  <sheetFormatPr defaultRowHeight="15" x14ac:dyDescent="0.25"/>
  <cols>
    <col min="1" max="1" width="6" customWidth="1"/>
    <col min="2" max="2" width="34" customWidth="1"/>
    <col min="3" max="3" width="70" customWidth="1"/>
  </cols>
  <sheetData>
    <row r="1" spans="1:3" ht="18" customHeight="1" x14ac:dyDescent="0.25">
      <c r="A1" s="1" t="s">
        <v>246</v>
      </c>
    </row>
    <row r="3" spans="1:3" x14ac:dyDescent="0.25">
      <c r="A3" s="17" t="s">
        <v>211</v>
      </c>
      <c r="B3" s="17" t="s">
        <v>247</v>
      </c>
      <c r="C3" s="17" t="s">
        <v>248</v>
      </c>
    </row>
    <row r="4" spans="1:3" x14ac:dyDescent="0.25">
      <c r="A4" s="12" t="s">
        <v>249</v>
      </c>
      <c r="B4" s="12" t="s">
        <v>172</v>
      </c>
      <c r="C4" s="12" t="s">
        <v>250</v>
      </c>
    </row>
    <row r="5" spans="1:3" x14ac:dyDescent="0.25">
      <c r="A5" s="12" t="s">
        <v>251</v>
      </c>
      <c r="B5" s="12" t="s">
        <v>252</v>
      </c>
      <c r="C5" s="12" t="s">
        <v>253</v>
      </c>
    </row>
    <row r="6" spans="1:3" x14ac:dyDescent="0.25">
      <c r="A6" s="12" t="s">
        <v>254</v>
      </c>
      <c r="B6" s="12" t="s">
        <v>255</v>
      </c>
      <c r="C6" s="12" t="s">
        <v>256</v>
      </c>
    </row>
    <row r="7" spans="1:3" x14ac:dyDescent="0.25">
      <c r="A7" s="12" t="s">
        <v>257</v>
      </c>
      <c r="B7" s="12" t="s">
        <v>258</v>
      </c>
      <c r="C7" s="12" t="s">
        <v>259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6"/>
  <sheetViews>
    <sheetView workbookViewId="0"/>
  </sheetViews>
  <sheetFormatPr defaultRowHeight="15" x14ac:dyDescent="0.25"/>
  <cols>
    <col min="1" max="1" width="44" customWidth="1"/>
    <col min="2" max="2" width="86" customWidth="1"/>
  </cols>
  <sheetData>
    <row r="1" spans="1:2" ht="18" x14ac:dyDescent="0.25">
      <c r="A1" s="1" t="s">
        <v>260</v>
      </c>
    </row>
    <row r="3" spans="1:2" x14ac:dyDescent="0.25">
      <c r="A3" s="20" t="s">
        <v>261</v>
      </c>
      <c r="B3" s="20" t="s">
        <v>262</v>
      </c>
    </row>
    <row r="4" spans="1:2" ht="25.5" x14ac:dyDescent="0.25">
      <c r="A4" s="21" t="s">
        <v>263</v>
      </c>
      <c r="B4" s="22" t="s">
        <v>264</v>
      </c>
    </row>
    <row r="5" spans="1:2" ht="25.5" x14ac:dyDescent="0.25">
      <c r="A5" s="21" t="s">
        <v>265</v>
      </c>
      <c r="B5" s="22" t="s">
        <v>266</v>
      </c>
    </row>
    <row r="6" spans="1:2" ht="25.5" x14ac:dyDescent="0.25">
      <c r="A6" s="21" t="s">
        <v>267</v>
      </c>
      <c r="B6" s="22" t="s">
        <v>268</v>
      </c>
    </row>
    <row r="7" spans="1:2" x14ac:dyDescent="0.25">
      <c r="A7" s="21" t="s">
        <v>269</v>
      </c>
      <c r="B7" s="22" t="s">
        <v>270</v>
      </c>
    </row>
    <row r="8" spans="1:2" x14ac:dyDescent="0.25">
      <c r="A8" s="21" t="s">
        <v>271</v>
      </c>
      <c r="B8" s="22" t="s">
        <v>272</v>
      </c>
    </row>
    <row r="9" spans="1:2" x14ac:dyDescent="0.25">
      <c r="A9" s="21" t="s">
        <v>273</v>
      </c>
      <c r="B9" s="22" t="s">
        <v>274</v>
      </c>
    </row>
    <row r="10" spans="1:2" ht="25.5" x14ac:dyDescent="0.25">
      <c r="A10" s="21" t="s">
        <v>275</v>
      </c>
      <c r="B10" s="22" t="s">
        <v>276</v>
      </c>
    </row>
    <row r="11" spans="1:2" ht="25.5" x14ac:dyDescent="0.25">
      <c r="A11" s="21" t="s">
        <v>277</v>
      </c>
      <c r="B11" s="22" t="s">
        <v>278</v>
      </c>
    </row>
    <row r="12" spans="1:2" x14ac:dyDescent="0.25">
      <c r="A12" s="21" t="s">
        <v>279</v>
      </c>
      <c r="B12" s="22" t="s">
        <v>280</v>
      </c>
    </row>
    <row r="13" spans="1:2" x14ac:dyDescent="0.25">
      <c r="A13" s="21" t="s">
        <v>281</v>
      </c>
      <c r="B13" s="22" t="s">
        <v>282</v>
      </c>
    </row>
    <row r="14" spans="1:2" ht="25.5" x14ac:dyDescent="0.25">
      <c r="A14" s="21" t="s">
        <v>283</v>
      </c>
      <c r="B14" s="22" t="s">
        <v>284</v>
      </c>
    </row>
    <row r="16" spans="1:2" x14ac:dyDescent="0.25">
      <c r="A16" s="23" t="s">
        <v>285</v>
      </c>
    </row>
  </sheetData>
  <hyperlinks>
    <hyperlink ref="B4" r:id="rId1" xr:uid="{00000000-0004-0000-0400-000000000000}"/>
    <hyperlink ref="B5" r:id="rId2" xr:uid="{00000000-0004-0000-0400-000001000000}"/>
    <hyperlink ref="B6" r:id="rId3" xr:uid="{00000000-0004-0000-0400-000002000000}"/>
    <hyperlink ref="B7" r:id="rId4" xr:uid="{00000000-0004-0000-0400-000003000000}"/>
    <hyperlink ref="B8" r:id="rId5" xr:uid="{00000000-0004-0000-0400-000004000000}"/>
    <hyperlink ref="B9" r:id="rId6" xr:uid="{00000000-0004-0000-0400-000005000000}"/>
    <hyperlink ref="B10" r:id="rId7" xr:uid="{00000000-0004-0000-0400-000006000000}"/>
    <hyperlink ref="B11" r:id="rId8" xr:uid="{00000000-0004-0000-0400-000007000000}"/>
    <hyperlink ref="B12" r:id="rId9" xr:uid="{00000000-0004-0000-0400-000008000000}"/>
    <hyperlink ref="B13" r:id="rId10" xr:uid="{00000000-0004-0000-0400-000009000000}"/>
    <hyperlink ref="B14" r:id="rId11" xr:uid="{00000000-0004-0000-0400-00000A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BOM</vt:lpstr>
      <vt:lpstr>Compatibility</vt:lpstr>
      <vt:lpstr>Inspection</vt:lpstr>
      <vt:lpstr>Queued changes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Quinlan Missikowski</cp:lastModifiedBy>
  <dcterms:created xsi:type="dcterms:W3CDTF">2026-08-03T04:17:13Z</dcterms:created>
  <dcterms:modified xsi:type="dcterms:W3CDTF">2026-08-03T04:36:46Z</dcterms:modified>
</cp:coreProperties>
</file>